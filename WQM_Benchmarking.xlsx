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arti\Desktop\WQM\"/>
    </mc:Choice>
  </mc:AlternateContent>
  <xr:revisionPtr revIDLastSave="0" documentId="13_ncr:1_{EFE8E8F8-177C-48F1-8F65-8D37E429E3F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hart1" sheetId="3" r:id="rId1"/>
    <sheet name="Benchmarking Detail" sheetId="1" r:id="rId2"/>
    <sheet name="Summary Scorecard" sheetId="2" r:id="rId3"/>
  </sheets>
  <calcPr calcId="0"/>
</workbook>
</file>

<file path=xl/sharedStrings.xml><?xml version="1.0" encoding="utf-8"?>
<sst xmlns="http://schemas.openxmlformats.org/spreadsheetml/2006/main" count="581" uniqueCount="381">
  <si>
    <t>WQM Project - IoT Benchmarking Report</t>
  </si>
  <si>
    <t>River Water Quality Monitor with Pollution Prediction  |  Benchmarked against industry IoT standards and CPCB/IS-10500 norms</t>
  </si>
  <si>
    <t>A. Sensor Performance &amp; Data Quality</t>
  </si>
  <si>
    <t>Metric</t>
  </si>
  <si>
    <t>Unit</t>
  </si>
  <si>
    <t>Target / Industry Benchmark</t>
  </si>
  <si>
    <t>WQM Specification</t>
  </si>
  <si>
    <t>Verdict</t>
  </si>
  <si>
    <t>Remarks / Notes</t>
  </si>
  <si>
    <t>pH Accuracy</t>
  </si>
  <si>
    <t>pH units</t>
  </si>
  <si>
    <t>+/-0.1</t>
  </si>
  <si>
    <t>+/-0.1 (SEN0161)</t>
  </si>
  <si>
    <t>Pass</t>
  </si>
  <si>
    <t>Meets industrial-grade accuracy; 2-point calibration employed.</t>
  </si>
  <si>
    <t>pH Range</t>
  </si>
  <si>
    <t>pH</t>
  </si>
  <si>
    <t>0 - 14</t>
  </si>
  <si>
    <t>Full-scale coverage for river water (typical 6.5 - 8.5).</t>
  </si>
  <si>
    <t>Turbidity Range</t>
  </si>
  <si>
    <t>NTU</t>
  </si>
  <si>
    <t>0 - 4000</t>
  </si>
  <si>
    <t>0 - 3000 (SEN0189)</t>
  </si>
  <si>
    <t>Acceptable</t>
  </si>
  <si>
    <t>Sufficient for river monitoring; extreme flood events may exceed 3000 NTU.</t>
  </si>
  <si>
    <t>Turbidity Resolution</t>
  </si>
  <si>
    <t>&lt; 5</t>
  </si>
  <si>
    <t>Polynomial curve fit</t>
  </si>
  <si>
    <t>N/A</t>
  </si>
  <si>
    <t>Resolution depends on ADC bit-depth and calibration curve; needs lab validation.</t>
  </si>
  <si>
    <t>TDS Range</t>
  </si>
  <si>
    <t>ppm</t>
  </si>
  <si>
    <t>0 - 1500</t>
  </si>
  <si>
    <t>0 - 1000</t>
  </si>
  <si>
    <t>Adequate for freshwater rivers; highly saline conditions would exceed range.</t>
  </si>
  <si>
    <t>TDS Temp Compensation</t>
  </si>
  <si>
    <t>Yes/No</t>
  </si>
  <si>
    <t>Required</t>
  </si>
  <si>
    <t>Yes (DS18B20)</t>
  </si>
  <si>
    <t>Active temperature compensation via dedicated probe.</t>
  </si>
  <si>
    <t>Temperature Accuracy</t>
  </si>
  <si>
    <t>deg C</t>
  </si>
  <si>
    <t>+/-0.5</t>
  </si>
  <si>
    <t>+/-0.5 (DS18B20)</t>
  </si>
  <si>
    <t>Meets specification; waterproof stainless steel probe.</t>
  </si>
  <si>
    <t>Temperature Range</t>
  </si>
  <si>
    <t>-10 to +50</t>
  </si>
  <si>
    <t>-55 to +125</t>
  </si>
  <si>
    <t>Far exceeds operational river temperature range.</t>
  </si>
  <si>
    <t>DO Range</t>
  </si>
  <si>
    <t>mg/L</t>
  </si>
  <si>
    <t>0 - 20</t>
  </si>
  <si>
    <t>0 - 20 (Galvanic)</t>
  </si>
  <si>
    <t>Covers full dissolved oxygen spectrum for freshwater.</t>
  </si>
  <si>
    <t>DO Calibration Method</t>
  </si>
  <si>
    <t>Method</t>
  </si>
  <si>
    <t>Air-saturated</t>
  </si>
  <si>
    <t>Air-saturated water</t>
  </si>
  <si>
    <t>Standard calibration practice.</t>
  </si>
  <si>
    <t>Conductivity Range</t>
  </si>
  <si>
    <t>ms/cm</t>
  </si>
  <si>
    <t>0 - 20 (K=1)</t>
  </si>
  <si>
    <t>Cross-references TDS for data validation.</t>
  </si>
  <si>
    <t>Sensor Drift (annual)</t>
  </si>
  <si>
    <t>% FS</t>
  </si>
  <si>
    <t>&lt; 2%</t>
  </si>
  <si>
    <t>TBD</t>
  </si>
  <si>
    <t>Requires long-term field data to quantify; plan periodic recalibration.</t>
  </si>
  <si>
    <t>Edge Filtering</t>
  </si>
  <si>
    <t>Moving Avg / Median</t>
  </si>
  <si>
    <t>Median filter</t>
  </si>
  <si>
    <t>Median filter is robust against outlier spikes from debris/bubbles.</t>
  </si>
  <si>
    <t>Sampling Interval</t>
  </si>
  <si>
    <t>minutes</t>
  </si>
  <si>
    <t>1 - 15</t>
  </si>
  <si>
    <t>5 (configurable)</t>
  </si>
  <si>
    <t>5-min default balances temporal resolution with power budget.</t>
  </si>
  <si>
    <t>B. Communication Performance</t>
  </si>
  <si>
    <t>LoRa Frequency Band</t>
  </si>
  <si>
    <t>MHz</t>
  </si>
  <si>
    <t>ISM-compliant</t>
  </si>
  <si>
    <t>433 / 868 / 915</t>
  </si>
  <si>
    <t>Configurable per regional ISM regulations.</t>
  </si>
  <si>
    <t>LoRa Effective Range (LoS)</t>
  </si>
  <si>
    <t>km</t>
  </si>
  <si>
    <t>&gt;= 2</t>
  </si>
  <si>
    <t>~2</t>
  </si>
  <si>
    <t>Meets minimum for shore-to-mid-river deployment.</t>
  </si>
  <si>
    <t>LoRa Range (NLoS)</t>
  </si>
  <si>
    <t>m</t>
  </si>
  <si>
    <t>&gt;= 500</t>
  </si>
  <si>
    <t>~500</t>
  </si>
  <si>
    <t>Valley topography limits NLoS; consider relay nodes for wider coverage.</t>
  </si>
  <si>
    <t>LoRa Spread Factor Range</t>
  </si>
  <si>
    <t>SF</t>
  </si>
  <si>
    <t>SF7 - SF12</t>
  </si>
  <si>
    <t>Full dynamic range/data-rate trade-off available.</t>
  </si>
  <si>
    <t>Packet Delivery Ratio</t>
  </si>
  <si>
    <t>%</t>
  </si>
  <si>
    <t>&gt; 95%</t>
  </si>
  <si>
    <t>TBD (checksum validated)</t>
  </si>
  <si>
    <t>Checksum in payload; PDR needs field measurement over 7+ day trial.</t>
  </si>
  <si>
    <t>Payload Efficiency</t>
  </si>
  <si>
    <t>bytes</t>
  </si>
  <si>
    <t>&lt; 50</t>
  </si>
  <si>
    <t>Custom lightweight</t>
  </si>
  <si>
    <t>Compact binary: [node_id][ts][pH][turb][TDS][temp][DO][cond][chk].</t>
  </si>
  <si>
    <t>Cellular Backhaul</t>
  </si>
  <si>
    <t>Technology</t>
  </si>
  <si>
    <t>3G/4G LTE</t>
  </si>
  <si>
    <t>4G LTE (SIM7600E)</t>
  </si>
  <si>
    <t>High-bandwidth cellular module; future-proofed for 4G coverage.</t>
  </si>
  <si>
    <t>Backhaul Protocol</t>
  </si>
  <si>
    <t>Protocol</t>
  </si>
  <si>
    <t>HTTPS</t>
  </si>
  <si>
    <t>HTTPS + JSON</t>
  </si>
  <si>
    <t>Secure TLS transport with structured JSON payloads.</t>
  </si>
  <si>
    <t>Backhaul Bandwidth Need</t>
  </si>
  <si>
    <t>GB/day</t>
  </si>
  <si>
    <t>&lt; 2</t>
  </si>
  <si>
    <t>&lt; 1.5</t>
  </si>
  <si>
    <t>Minimal bandwidth; standard cellular plan is sufficient.</t>
  </si>
  <si>
    <t>End-to-End Latency</t>
  </si>
  <si>
    <t>seconds</t>
  </si>
  <si>
    <t>&lt; 30</t>
  </si>
  <si>
    <t>Sensor-to-dashboard latency needs profiling; LoRa + 4G + Firestore path.</t>
  </si>
  <si>
    <t>C. Power &amp; Energy Efficiency</t>
  </si>
  <si>
    <t>Solar Panel Rating</t>
  </si>
  <si>
    <t>W</t>
  </si>
  <si>
    <t>&gt;= 2W</t>
  </si>
  <si>
    <t>3W (6V mono)</t>
  </si>
  <si>
    <t>50% headroom over minimum; monocrystalline for Himalayan UV.</t>
  </si>
  <si>
    <t>Battery Capacity</t>
  </si>
  <si>
    <t>mAh</t>
  </si>
  <si>
    <t>&gt;= 2000</t>
  </si>
  <si>
    <t>3000 (18650 LiPo)</t>
  </si>
  <si>
    <t>Good energy buffer for overnight/overcast operation.</t>
  </si>
  <si>
    <t>Charge Controller</t>
  </si>
  <si>
    <t>Type</t>
  </si>
  <si>
    <t>MPPT</t>
  </si>
  <si>
    <t>CN3791 MPPT</t>
  </si>
  <si>
    <t>MPPT maximises harvest in variable mountain light conditions.</t>
  </si>
  <si>
    <t>Autonomous Runtime (no sun)</t>
  </si>
  <si>
    <t>hours</t>
  </si>
  <si>
    <t>&gt;= 24</t>
  </si>
  <si>
    <t>~48</t>
  </si>
  <si>
    <t>2x target; excellent for multi-day overcast or monsoon periods.</t>
  </si>
  <si>
    <t>Sleep-Mode Strategy</t>
  </si>
  <si>
    <t>Deep-sleep</t>
  </si>
  <si>
    <t>STM32 + ESP32 deep-sleep</t>
  </si>
  <si>
    <t>Both MCUs leverage hardware deep-sleep between 5-min wake cycles.</t>
  </si>
  <si>
    <t>Avg Current Draw (sleep)</t>
  </si>
  <si>
    <t>uA</t>
  </si>
  <si>
    <t>&lt; 100</t>
  </si>
  <si>
    <t>Needs measurement; STM32 stop-mode typically ~2 uA, ESP32 ~10 uA.</t>
  </si>
  <si>
    <t>Avg Current Draw (active)</t>
  </si>
  <si>
    <t>mA</t>
  </si>
  <si>
    <t>&lt; 300</t>
  </si>
  <si>
    <t>Sensor reads + LoRa TX burst; needs profiling on oscilloscope.</t>
  </si>
  <si>
    <t>Energy Harvest Efficiency</t>
  </si>
  <si>
    <t>% (MPPT)</t>
  </si>
  <si>
    <t>&gt; 90%</t>
  </si>
  <si>
    <t>CN3791 typ. 95%</t>
  </si>
  <si>
    <t>CN3791 is well-suited for 6V panel; high tracking efficiency.</t>
  </si>
  <si>
    <t>D. Edge Processing &amp; Firmware</t>
  </si>
  <si>
    <t>MCU Selection (Edge)</t>
  </si>
  <si>
    <t>Model</t>
  </si>
  <si>
    <t>Low-power + ADC</t>
  </si>
  <si>
    <t>STM32F405</t>
  </si>
  <si>
    <t>High-precision 12-bit ADC; ARM Cortex-M4 for efficient DSP.</t>
  </si>
  <si>
    <t>MCU Selection (Gateway)</t>
  </si>
  <si>
    <t>Wi-Fi/BT + SPI</t>
  </si>
  <si>
    <t>ESP32</t>
  </si>
  <si>
    <t>Dual-core, SPI for LoRa, UART for 4G modem; widely supported.</t>
  </si>
  <si>
    <t>ADC Resolution</t>
  </si>
  <si>
    <t>bits</t>
  </si>
  <si>
    <t>&gt;= 12</t>
  </si>
  <si>
    <t>12-bit (STM32)</t>
  </si>
  <si>
    <t>4096 levels; sufficient for analog sensor voltage mapping.</t>
  </si>
  <si>
    <t>Firmware Framework</t>
  </si>
  <si>
    <t>Platform</t>
  </si>
  <si>
    <t>Arduino/STM32Cube</t>
  </si>
  <si>
    <t>PlatformIO (Arduino/STM32Cube)</t>
  </si>
  <si>
    <t>Flexible dev environment; supports both frameworks.</t>
  </si>
  <si>
    <t>OTA Update Capability</t>
  </si>
  <si>
    <t>Needs Improvement</t>
  </si>
  <si>
    <t>Critical for remote Himalayan deployment; plan OTA via 4G gateway.</t>
  </si>
  <si>
    <t>Watchdog Timer</t>
  </si>
  <si>
    <t>Hardware WDT should be enabled to recover from firmware hangs.</t>
  </si>
  <si>
    <t>Data Pre-processing</t>
  </si>
  <si>
    <t>Methods</t>
  </si>
  <si>
    <t>Filter + Calibrate</t>
  </si>
  <si>
    <t>Median filter + cal offsets</t>
  </si>
  <si>
    <t>Edge-side noise rejection before transmission.</t>
  </si>
  <si>
    <t>E. Cloud &amp; Data Pipeline</t>
  </si>
  <si>
    <t>Cloud Database</t>
  </si>
  <si>
    <t>Service</t>
  </si>
  <si>
    <t>Managed NoSQL</t>
  </si>
  <si>
    <t>Firebase Firestore</t>
  </si>
  <si>
    <t>Real-time sync, managed scaling, good SDK ecosystem.</t>
  </si>
  <si>
    <t>Data Bucketing Strategy</t>
  </si>
  <si>
    <t>Writes/day</t>
  </si>
  <si>
    <t>1 doc/day/node</t>
  </si>
  <si>
    <t>Exceptional write optimisation vs. 288 writes/day naive approach.</t>
  </si>
  <si>
    <t>Data Ingestion Security</t>
  </si>
  <si>
    <t>Auth + TLS</t>
  </si>
  <si>
    <t>Firebase Auth + HTTPS</t>
  </si>
  <si>
    <t>Secure cloud ingestion path.</t>
  </si>
  <si>
    <t>Data Retention Policy</t>
  </si>
  <si>
    <t>Duration</t>
  </si>
  <si>
    <t>&gt;= 1 year</t>
  </si>
  <si>
    <t>Define Firestore TTL rules or archival to Cloud Storage for cost control.</t>
  </si>
  <si>
    <t>Serverless Compute</t>
  </si>
  <si>
    <t>Functions</t>
  </si>
  <si>
    <t>Firebase Cloud Functions</t>
  </si>
  <si>
    <t>Offloads ML inference from gateway; auto-scales with demand.</t>
  </si>
  <si>
    <t>Database Read Cost</t>
  </si>
  <si>
    <t>Reads/render</t>
  </si>
  <si>
    <t>&lt; 500</t>
  </si>
  <si>
    <t>1 doc/day = ~30 docs/month</t>
  </si>
  <si>
    <t>Bucketing keeps dashboard read costs extremely low.</t>
  </si>
  <si>
    <t>F. ML &amp; Predictive Analytics</t>
  </si>
  <si>
    <t>Short-Term Model</t>
  </si>
  <si>
    <t>Architecture</t>
  </si>
  <si>
    <t>RNN / LSTM</t>
  </si>
  <si>
    <t>2-layer LSTM (64+32)</t>
  </si>
  <si>
    <t>Appropriate for non-linear time-series; dropout 0.2 prevents overfitting.</t>
  </si>
  <si>
    <t>Prediction Horizon</t>
  </si>
  <si>
    <t>6 - 48</t>
  </si>
  <si>
    <t>24</t>
  </si>
  <si>
    <t>Sweet spot for tactical intervention by municipal authorities.</t>
  </si>
  <si>
    <t>Training Data Source</t>
  </si>
  <si>
    <t>Source</t>
  </si>
  <si>
    <t>Govt / Historical</t>
  </si>
  <si>
    <t>CPCB historical data</t>
  </si>
  <si>
    <t>Authoritative Indian water quality dataset.</t>
  </si>
  <si>
    <t>Model Accuracy (RMSE)</t>
  </si>
  <si>
    <t>WQI units</t>
  </si>
  <si>
    <t>&lt; 10</t>
  </si>
  <si>
    <t>Requires model evaluation on held-out CPCB test set.</t>
  </si>
  <si>
    <t>Model Accuracy (R-squared)</t>
  </si>
  <si>
    <t>R2</t>
  </si>
  <si>
    <t>&gt; 0.85</t>
  </si>
  <si>
    <t>Must validate on real-time telemetry after deployment.</t>
  </si>
  <si>
    <t>Long-Term Model</t>
  </si>
  <si>
    <t>Prophet / SARIMA</t>
  </si>
  <si>
    <t>Facebook Prophet</t>
  </si>
  <si>
    <t>Seasonal decomposition + changepoint detection; well-suited.</t>
  </si>
  <si>
    <t>Inference Platform</t>
  </si>
  <si>
    <t>Cloud</t>
  </si>
  <si>
    <t>Server-side inference avoids edge compute constraints.</t>
  </si>
  <si>
    <t>ML Framework</t>
  </si>
  <si>
    <t>Library</t>
  </si>
  <si>
    <t>TF/PyTorch</t>
  </si>
  <si>
    <t>TensorFlow/Keras</t>
  </si>
  <si>
    <t>Mature ecosystem; Keras API simplifies LSTM development.</t>
  </si>
  <si>
    <t>Retraining Strategy</t>
  </si>
  <si>
    <t>Frequency</t>
  </si>
  <si>
    <t>Monthly / Drift-based</t>
  </si>
  <si>
    <t>Plan periodic retraining as real-time data accumulates.</t>
  </si>
  <si>
    <t>G. Presentation &amp; Dashboard</t>
  </si>
  <si>
    <t>Frontend Framework</t>
  </si>
  <si>
    <t>Framework</t>
  </si>
  <si>
    <t>React / Vue</t>
  </si>
  <si>
    <t>React 18 (Vite)</t>
  </si>
  <si>
    <t>Modern SPA with fast HMR dev experience.</t>
  </si>
  <si>
    <t>Real-Time Data Feed</t>
  </si>
  <si>
    <t>WebSocket / SSE</t>
  </si>
  <si>
    <t>Firestore real-time sub</t>
  </si>
  <si>
    <t>Native Firestore listeners provide instant updates.</t>
  </si>
  <si>
    <t>Mapping Library</t>
  </si>
  <si>
    <t>Leaflet / Mapbox</t>
  </si>
  <si>
    <t>Leaflet.js</t>
  </si>
  <si>
    <t>Open-source; heatmap overlays for geographic WQI visualisation.</t>
  </si>
  <si>
    <t>Charting Library</t>
  </si>
  <si>
    <t>D3 / Recharts</t>
  </si>
  <si>
    <t>Recharts</t>
  </si>
  <si>
    <t>Declarative React charts; good for time-series rendering.</t>
  </si>
  <si>
    <t>Mobile Responsiveness</t>
  </si>
  <si>
    <t>Verify responsive breakpoints for field officers on mobile.</t>
  </si>
  <si>
    <t>Accessibility (WCAG)</t>
  </si>
  <si>
    <t>Level</t>
  </si>
  <si>
    <t>AA</t>
  </si>
  <si>
    <t>Ensure contrast ratios, ARIA labels, keyboard navigation.</t>
  </si>
  <si>
    <t>H. Alerting &amp; Notification</t>
  </si>
  <si>
    <t>Alert Channels</t>
  </si>
  <si>
    <t>Channels</t>
  </si>
  <si>
    <t>SMS + WhatsApp</t>
  </si>
  <si>
    <t>Dual-channel via Twilio ensures delivery redundancy.</t>
  </si>
  <si>
    <t>Alert Trigger</t>
  </si>
  <si>
    <t>Threshold-based</t>
  </si>
  <si>
    <t>IS-10500 / CPCB thresholds</t>
  </si>
  <si>
    <t>Standards-compliant trigger logic.</t>
  </si>
  <si>
    <t>Predictive Alerting</t>
  </si>
  <si>
    <t>Desired</t>
  </si>
  <si>
    <t>Yes (24-hr forecast)</t>
  </si>
  <si>
    <t>Proactive alerts before pollution events escalate.</t>
  </si>
  <si>
    <t>Alert Latency</t>
  </si>
  <si>
    <t>&lt; 60</t>
  </si>
  <si>
    <t>Cloud Function trigger + Twilio API; needs end-to-end timing.</t>
  </si>
  <si>
    <t>False Positive Rate</t>
  </si>
  <si>
    <t>% of alerts</t>
  </si>
  <si>
    <t>&lt; 5%</t>
  </si>
  <si>
    <t>Tune thresholds during field trial; hysteresis may help.</t>
  </si>
  <si>
    <t>Notification Service</t>
  </si>
  <si>
    <t>Provider</t>
  </si>
  <si>
    <t>Twilio / SNS</t>
  </si>
  <si>
    <t>Twilio API</t>
  </si>
  <si>
    <t>Reliable global delivery; supports programmable messaging.</t>
  </si>
  <si>
    <t>I. Environmental Resilience &amp; Enclosure</t>
  </si>
  <si>
    <t>Buoy IP Rating</t>
  </si>
  <si>
    <t>IP Code</t>
  </si>
  <si>
    <t>&gt;= IP67</t>
  </si>
  <si>
    <t>PVC sealed + silicone</t>
  </si>
  <si>
    <t>Custom build; formal IP67 cert needs lab testing.</t>
  </si>
  <si>
    <t>Gateway IP Rating</t>
  </si>
  <si>
    <t>&gt;= IP65</t>
  </si>
  <si>
    <t>IP65 ABS junction box</t>
  </si>
  <si>
    <t>Off-the-shelf IP65 rated; suitable for outdoor pole mount.</t>
  </si>
  <si>
    <t>Operating Temp Range</t>
  </si>
  <si>
    <t>-10 to +60</t>
  </si>
  <si>
    <t>TBD (component-dependent)</t>
  </si>
  <si>
    <t>STM32: -40 to +85; LiPo: 0 to +45 charge; may limit cold starts.</t>
  </si>
  <si>
    <t>UV Resistance</t>
  </si>
  <si>
    <t>PVC (inherent UV resist)</t>
  </si>
  <si>
    <t>PVC is UV-stable but consider UV-rated paint for longevity.</t>
  </si>
  <si>
    <t>Biofouling Mitigation</t>
  </si>
  <si>
    <t>Antifoul coating / wiper</t>
  </si>
  <si>
    <t>Sensor probes immersed in river will foul; plan cleaning schedule or copper mesh.</t>
  </si>
  <si>
    <t>Buoyancy &amp; Stability</t>
  </si>
  <si>
    <t>Foam collar / keel</t>
  </si>
  <si>
    <t>Foam collar</t>
  </si>
  <si>
    <t>Adequate for calm-to-moderate river flow.</t>
  </si>
  <si>
    <t>Flood / High-Flow Survival</t>
  </si>
  <si>
    <t>Anchor + breakaway</t>
  </si>
  <si>
    <t>Himalayan rivers experience monsoon surges; tethering strategy critical.</t>
  </si>
  <si>
    <t>J. Scalability, Cost &amp; Compliance</t>
  </si>
  <si>
    <t>Max Nodes per Gateway</t>
  </si>
  <si>
    <t>Nodes</t>
  </si>
  <si>
    <t>&gt;= 10</t>
  </si>
  <si>
    <t>TBD (LoRa TDMA/FDMA)</t>
  </si>
  <si>
    <t>Depends on duty cycle and channel allocation; design supports multi-node.</t>
  </si>
  <si>
    <t>Estimated BOM (per buoy)</t>
  </si>
  <si>
    <t>USD</t>
  </si>
  <si>
    <t>&lt; 200</t>
  </si>
  <si>
    <t>Sum sensors + STM32 + LoRa + solar + battery + enclosure.</t>
  </si>
  <si>
    <t>Monthly Cloud Cost</t>
  </si>
  <si>
    <t>Low (data bucketing)</t>
  </si>
  <si>
    <t>Firestore free tier + minimal Cloud Functions likely &lt; $10/month.</t>
  </si>
  <si>
    <t>Regulatory: ISM Band</t>
  </si>
  <si>
    <t>Compliance</t>
  </si>
  <si>
    <t>433/868/915 MHz ISM</t>
  </si>
  <si>
    <t>Frequency-configurable for regional compliance.</t>
  </si>
  <si>
    <t>Regulatory: Water Quality</t>
  </si>
  <si>
    <t>Standard</t>
  </si>
  <si>
    <t>IS-10500 / CPCB</t>
  </si>
  <si>
    <t>IS-10500 + CPCB norms</t>
  </si>
  <si>
    <t>Thresholds aligned with Indian national standards.</t>
  </si>
  <si>
    <t>Data Privacy / GDPR</t>
  </si>
  <si>
    <t>If applicable</t>
  </si>
  <si>
    <t>Environmental data is non-personal; verify if GPS coords need policy.</t>
  </si>
  <si>
    <t>Open-Source Licensing</t>
  </si>
  <si>
    <t>License</t>
  </si>
  <si>
    <t>Defined</t>
  </si>
  <si>
    <t>Clarify firmware + dashboard licensing for community adoption.</t>
  </si>
  <si>
    <t>WQM Benchmarking - Summary Scorecard</t>
  </si>
  <si>
    <t>Category</t>
  </si>
  <si>
    <t>Needs Improv.</t>
  </si>
  <si>
    <t>Total</t>
  </si>
  <si>
    <t>Key Risk / Action Item</t>
  </si>
  <si>
    <t>Validate sensor drift and turbidity resolution via long-term field testing.</t>
  </si>
  <si>
    <t>Measure PDR and end-to-end latency during 7-day field trial.</t>
  </si>
  <si>
    <t>Profile active/sleep current draw on oscilloscope; verify 48-hr claim.</t>
  </si>
  <si>
    <t>Implement OTA firmware update path via 4G gateway; enable hardware WDT.</t>
  </si>
  <si>
    <t>Define Firestore data retention/archival policy for cost management.</t>
  </si>
  <si>
    <t>Evaluate LSTM RMSE and R-squared on held-out test set; plan retraining cadence.</t>
  </si>
  <si>
    <t>Verify mobile responsiveness and WCAG AA accessibility compliance.</t>
  </si>
  <si>
    <t>Measure alert latency end-to-end; tune thresholds to minimise false positives.</t>
  </si>
  <si>
    <t>Address biofouling mitigation and monsoon flood tethering strategy.</t>
  </si>
  <si>
    <t>Finalise BOM cost estimate and open-source licensing model.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</si>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</sst>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B0C4DE"/>
      <name val="Calibri"/>
    </font>
    <font>
      <b/>
      <sz val="12"/>
      <color rgb="FFE0FBFC"/>
      <name val="Calibri"/>
    </font>
    <font>
      <b/>
      <sz val="11"/>
      <color rgb="FFFFFFFF"/>
      <name val="Calibri"/>
    </font>
    <font>
      <b/>
      <sz val="10"/>
      <color rgb="FF1F4E79"/>
      <name val="Calibri"/>
    </font>
    <font>
      <sz val="10"/>
      <color rgb="FF333333"/>
      <name val="Calibri"/>
    </font>
    <font>
      <b/>
      <sz val="10"/>
      <color rgb="FF155724"/>
      <name val="Calibri"/>
    </font>
    <font>
      <b/>
      <sz val="10"/>
      <color rgb="FF856404"/>
      <name val="Calibri"/>
    </font>
    <font>
      <i/>
      <sz val="10"/>
      <color rgb="FF6C757D"/>
      <name val="Calibri"/>
    </font>
    <font>
      <b/>
      <sz val="10"/>
      <color rgb="FF721C24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D1B2A"/>
        <bgColor rgb="FF0D1B2A"/>
      </patternFill>
    </fill>
    <fill>
      <patternFill patternType="solid">
        <fgColor rgb="FF1B3A4B"/>
        <bgColor rgb="FF1B3A4B"/>
      </patternFill>
    </fill>
    <fill>
      <patternFill patternType="solid">
        <fgColor rgb="FF1F4E79"/>
        <bgColor rgb="FF1F4E79"/>
      </patternFill>
    </fill>
    <fill>
      <patternFill patternType="solid">
        <fgColor rgb="FFF2F7FB"/>
        <bgColor rgb="FFF2F7FB"/>
      </patternFill>
    </fill>
    <fill>
      <patternFill patternType="solid">
        <fgColor rgb="FFD4EDDA"/>
        <bgColor rgb="FFD4EDDA"/>
      </patternFill>
    </fill>
    <fill>
      <patternFill patternType="solid">
        <fgColor rgb="FFFFFFFF"/>
        <bgColor rgb="FFFFFFFF"/>
      </patternFill>
    </fill>
    <fill>
      <patternFill patternType="solid">
        <fgColor rgb="FFFFF3CD"/>
        <bgColor rgb="FFFFF3CD"/>
      </patternFill>
    </fill>
    <fill>
      <patternFill patternType="solid">
        <fgColor rgb="FFE2E3E5"/>
        <bgColor rgb="FFE2E3E5"/>
      </patternFill>
    </fill>
    <fill>
      <patternFill patternType="solid">
        <fgColor rgb="FFF8D7DA"/>
        <bgColor rgb="FFF8D7DA"/>
      </patternFill>
    </fill>
  </fills>
  <borders count="3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medium">
        <color rgb="FF1F4E7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4" borderId="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10" borderId="1" xfId="0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'Benchmarking Detail'!$A$52:$E$52</c:f>
              <c:strCache>
                <c:ptCount val="5"/>
                <c:pt idx="0">
                  <c:v>Data Pre-processing</c:v>
                </c:pt>
                <c:pt idx="1">
                  <c:v>Methods</c:v>
                </c:pt>
                <c:pt idx="2">
                  <c:v>Filter + Calibrate</c:v>
                </c:pt>
                <c:pt idx="3">
                  <c:v>Median filter + cal offsets</c:v>
                </c:pt>
                <c:pt idx="4">
                  <c:v>Pass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'Benchmarking Detail'!$F$44:$F$51</c:f>
              <c:strCache>
                <c:ptCount val="8"/>
                <c:pt idx="1">
                  <c:v>Remarks / Notes</c:v>
                </c:pt>
                <c:pt idx="2">
                  <c:v>High-precision 12-bit ADC; ARM Cortex-M4 for efficient DSP.</c:v>
                </c:pt>
                <c:pt idx="3">
                  <c:v>Dual-core, SPI for LoRa, UART for 4G modem; widely supported.</c:v>
                </c:pt>
                <c:pt idx="4">
                  <c:v>4096 levels; sufficient for analog sensor voltage mapping.</c:v>
                </c:pt>
                <c:pt idx="5">
                  <c:v>Flexible dev environment; supports both frameworks.</c:v>
                </c:pt>
                <c:pt idx="6">
                  <c:v>Critical for remote Himalayan deployment; plan OTA via 4G gateway.</c:v>
                </c:pt>
                <c:pt idx="7">
                  <c:v>Hardware WDT should be enabled to recover from firmware hangs.</c:v>
                </c:pt>
              </c:strCache>
            </c:strRef>
          </c:cat>
          <c:val>
            <c:numRef>
              <c:f>'Benchmarking Detail'!$F$52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F-4F98-990E-579AA4E5D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741664"/>
        <c:axId val="1488911184"/>
      </c:barChart>
      <c:catAx>
        <c:axId val="98574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911184"/>
        <c:crosses val="autoZero"/>
        <c:auto val="1"/>
        <c:lblAlgn val="ctr"/>
        <c:lblOffset val="100"/>
        <c:noMultiLvlLbl val="0"/>
      </c:catAx>
      <c:valAx>
        <c:axId val="148891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74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B532D1-851A-44A2-84E0-CFE396832794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069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CA95B-8074-1205-4CC3-7576065D48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1"/>
  <sheetViews>
    <sheetView tabSelected="1" workbookViewId="0">
      <pane ySplit="2" topLeftCell="A51" activePane="bottomLeft" state="frozen"/>
      <selection pane="bottomLeft" activeCell="A99" sqref="A99"/>
    </sheetView>
  </sheetViews>
  <sheetFormatPr defaultRowHeight="14.5" x14ac:dyDescent="0.35"/>
  <cols>
    <col min="1" max="1" width="38" customWidth="1"/>
    <col min="2" max="2" width="12" customWidth="1"/>
    <col min="3" max="3" width="22" customWidth="1"/>
    <col min="4" max="4" width="26" customWidth="1"/>
    <col min="5" max="5" width="18" customWidth="1"/>
    <col min="6" max="6" width="60" customWidth="1"/>
  </cols>
  <sheetData>
    <row r="1" spans="1:6" ht="36" customHeight="1" x14ac:dyDescent="0.35">
      <c r="A1" s="26" t="s">
        <v>0</v>
      </c>
      <c r="B1" s="24"/>
      <c r="C1" s="24"/>
      <c r="D1" s="24"/>
      <c r="E1" s="24"/>
      <c r="F1" s="24"/>
    </row>
    <row r="2" spans="1:6" ht="22" customHeight="1" x14ac:dyDescent="0.35">
      <c r="A2" s="23" t="s">
        <v>1</v>
      </c>
      <c r="B2" s="24"/>
      <c r="C2" s="24"/>
      <c r="D2" s="24"/>
      <c r="E2" s="24"/>
      <c r="F2" s="24"/>
    </row>
    <row r="3" spans="1:6" ht="28" customHeight="1" x14ac:dyDescent="0.35">
      <c r="A3" s="25" t="s">
        <v>2</v>
      </c>
      <c r="B3" s="24"/>
      <c r="C3" s="24"/>
      <c r="D3" s="24"/>
      <c r="E3" s="24"/>
      <c r="F3" s="24"/>
    </row>
    <row r="4" spans="1:6" ht="24" customHeight="1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</row>
    <row r="5" spans="1:6" ht="36" customHeight="1" x14ac:dyDescent="0.35">
      <c r="A5" s="2" t="s">
        <v>9</v>
      </c>
      <c r="B5" s="3" t="s">
        <v>10</v>
      </c>
      <c r="C5" s="3" t="s">
        <v>11</v>
      </c>
      <c r="D5" s="3" t="s">
        <v>12</v>
      </c>
      <c r="E5" s="4" t="s">
        <v>13</v>
      </c>
      <c r="F5" s="5" t="s">
        <v>14</v>
      </c>
    </row>
    <row r="6" spans="1:6" ht="36" customHeight="1" x14ac:dyDescent="0.35">
      <c r="A6" s="6" t="s">
        <v>15</v>
      </c>
      <c r="B6" s="7" t="s">
        <v>16</v>
      </c>
      <c r="C6" s="7" t="s">
        <v>17</v>
      </c>
      <c r="D6" s="7" t="s">
        <v>17</v>
      </c>
      <c r="E6" s="4" t="s">
        <v>13</v>
      </c>
      <c r="F6" s="8" t="s">
        <v>18</v>
      </c>
    </row>
    <row r="7" spans="1:6" ht="36" customHeight="1" x14ac:dyDescent="0.35">
      <c r="A7" s="2" t="s">
        <v>19</v>
      </c>
      <c r="B7" s="3" t="s">
        <v>20</v>
      </c>
      <c r="C7" s="3" t="s">
        <v>21</v>
      </c>
      <c r="D7" s="3" t="s">
        <v>22</v>
      </c>
      <c r="E7" s="9" t="s">
        <v>23</v>
      </c>
      <c r="F7" s="5" t="s">
        <v>24</v>
      </c>
    </row>
    <row r="8" spans="1:6" ht="36" customHeight="1" x14ac:dyDescent="0.35">
      <c r="A8" s="6" t="s">
        <v>25</v>
      </c>
      <c r="B8" s="7" t="s">
        <v>20</v>
      </c>
      <c r="C8" s="7" t="s">
        <v>26</v>
      </c>
      <c r="D8" s="7" t="s">
        <v>27</v>
      </c>
      <c r="E8" s="10" t="s">
        <v>28</v>
      </c>
      <c r="F8" s="8" t="s">
        <v>29</v>
      </c>
    </row>
    <row r="9" spans="1:6" ht="36" customHeight="1" x14ac:dyDescent="0.35">
      <c r="A9" s="2" t="s">
        <v>30</v>
      </c>
      <c r="B9" s="3" t="s">
        <v>31</v>
      </c>
      <c r="C9" s="3" t="s">
        <v>32</v>
      </c>
      <c r="D9" s="3" t="s">
        <v>33</v>
      </c>
      <c r="E9" s="9" t="s">
        <v>23</v>
      </c>
      <c r="F9" s="5" t="s">
        <v>34</v>
      </c>
    </row>
    <row r="10" spans="1:6" ht="36" customHeight="1" x14ac:dyDescent="0.35">
      <c r="A10" s="6" t="s">
        <v>35</v>
      </c>
      <c r="B10" s="7" t="s">
        <v>36</v>
      </c>
      <c r="C10" s="7" t="s">
        <v>37</v>
      </c>
      <c r="D10" s="7" t="s">
        <v>38</v>
      </c>
      <c r="E10" s="4" t="s">
        <v>13</v>
      </c>
      <c r="F10" s="8" t="s">
        <v>39</v>
      </c>
    </row>
    <row r="11" spans="1:6" ht="36" customHeight="1" x14ac:dyDescent="0.35">
      <c r="A11" s="2" t="s">
        <v>40</v>
      </c>
      <c r="B11" s="3" t="s">
        <v>41</v>
      </c>
      <c r="C11" s="3" t="s">
        <v>42</v>
      </c>
      <c r="D11" s="3" t="s">
        <v>43</v>
      </c>
      <c r="E11" s="4" t="s">
        <v>13</v>
      </c>
      <c r="F11" s="5" t="s">
        <v>44</v>
      </c>
    </row>
    <row r="12" spans="1:6" ht="36" customHeight="1" x14ac:dyDescent="0.35">
      <c r="A12" s="6" t="s">
        <v>45</v>
      </c>
      <c r="B12" s="7" t="s">
        <v>41</v>
      </c>
      <c r="C12" s="7" t="s">
        <v>46</v>
      </c>
      <c r="D12" s="7" t="s">
        <v>47</v>
      </c>
      <c r="E12" s="4" t="s">
        <v>13</v>
      </c>
      <c r="F12" s="8" t="s">
        <v>48</v>
      </c>
    </row>
    <row r="13" spans="1:6" ht="36" customHeight="1" x14ac:dyDescent="0.35">
      <c r="A13" s="2" t="s">
        <v>49</v>
      </c>
      <c r="B13" s="3" t="s">
        <v>50</v>
      </c>
      <c r="C13" s="3" t="s">
        <v>51</v>
      </c>
      <c r="D13" s="3" t="s">
        <v>52</v>
      </c>
      <c r="E13" s="4" t="s">
        <v>13</v>
      </c>
      <c r="F13" s="5" t="s">
        <v>53</v>
      </c>
    </row>
    <row r="14" spans="1:6" ht="36" customHeight="1" x14ac:dyDescent="0.35">
      <c r="A14" s="6" t="s">
        <v>54</v>
      </c>
      <c r="B14" s="7" t="s">
        <v>55</v>
      </c>
      <c r="C14" s="7" t="s">
        <v>56</v>
      </c>
      <c r="D14" s="7" t="s">
        <v>57</v>
      </c>
      <c r="E14" s="4" t="s">
        <v>13</v>
      </c>
      <c r="F14" s="8" t="s">
        <v>58</v>
      </c>
    </row>
    <row r="15" spans="1:6" ht="36" customHeight="1" x14ac:dyDescent="0.35">
      <c r="A15" s="2" t="s">
        <v>59</v>
      </c>
      <c r="B15" s="3" t="s">
        <v>60</v>
      </c>
      <c r="C15" s="3" t="s">
        <v>51</v>
      </c>
      <c r="D15" s="3" t="s">
        <v>61</v>
      </c>
      <c r="E15" s="4" t="s">
        <v>13</v>
      </c>
      <c r="F15" s="5" t="s">
        <v>62</v>
      </c>
    </row>
    <row r="16" spans="1:6" ht="36" customHeight="1" x14ac:dyDescent="0.35">
      <c r="A16" s="6" t="s">
        <v>63</v>
      </c>
      <c r="B16" s="7" t="s">
        <v>64</v>
      </c>
      <c r="C16" s="7" t="s">
        <v>65</v>
      </c>
      <c r="D16" s="7" t="s">
        <v>66</v>
      </c>
      <c r="E16" s="10" t="s">
        <v>28</v>
      </c>
      <c r="F16" s="8" t="s">
        <v>67</v>
      </c>
    </row>
    <row r="17" spans="1:6" ht="36" customHeight="1" x14ac:dyDescent="0.35">
      <c r="A17" s="2" t="s">
        <v>68</v>
      </c>
      <c r="B17" s="3" t="s">
        <v>55</v>
      </c>
      <c r="C17" s="3" t="s">
        <v>69</v>
      </c>
      <c r="D17" s="3" t="s">
        <v>70</v>
      </c>
      <c r="E17" s="4" t="s">
        <v>13</v>
      </c>
      <c r="F17" s="5" t="s">
        <v>71</v>
      </c>
    </row>
    <row r="18" spans="1:6" ht="36" customHeight="1" x14ac:dyDescent="0.35">
      <c r="A18" s="6" t="s">
        <v>72</v>
      </c>
      <c r="B18" s="7" t="s">
        <v>73</v>
      </c>
      <c r="C18" s="7" t="s">
        <v>74</v>
      </c>
      <c r="D18" s="7" t="s">
        <v>75</v>
      </c>
      <c r="E18" s="4" t="s">
        <v>13</v>
      </c>
      <c r="F18" s="8" t="s">
        <v>76</v>
      </c>
    </row>
    <row r="20" spans="1:6" ht="28" customHeight="1" x14ac:dyDescent="0.35">
      <c r="A20" s="25" t="s">
        <v>77</v>
      </c>
      <c r="B20" s="24"/>
      <c r="C20" s="24"/>
      <c r="D20" s="24"/>
      <c r="E20" s="24"/>
      <c r="F20" s="24"/>
    </row>
    <row r="21" spans="1:6" ht="24" customHeight="1" x14ac:dyDescent="0.35">
      <c r="A21" s="1" t="s">
        <v>3</v>
      </c>
      <c r="B21" s="1" t="s">
        <v>4</v>
      </c>
      <c r="C21" s="1" t="s">
        <v>5</v>
      </c>
      <c r="D21" s="1" t="s">
        <v>6</v>
      </c>
      <c r="E21" s="1" t="s">
        <v>7</v>
      </c>
      <c r="F21" s="1" t="s">
        <v>8</v>
      </c>
    </row>
    <row r="22" spans="1:6" ht="36" customHeight="1" x14ac:dyDescent="0.35">
      <c r="A22" s="2" t="s">
        <v>78</v>
      </c>
      <c r="B22" s="3" t="s">
        <v>79</v>
      </c>
      <c r="C22" s="3" t="s">
        <v>80</v>
      </c>
      <c r="D22" s="3" t="s">
        <v>81</v>
      </c>
      <c r="E22" s="4" t="s">
        <v>13</v>
      </c>
      <c r="F22" s="5" t="s">
        <v>82</v>
      </c>
    </row>
    <row r="23" spans="1:6" ht="36" customHeight="1" x14ac:dyDescent="0.35">
      <c r="A23" s="6" t="s">
        <v>83</v>
      </c>
      <c r="B23" s="7" t="s">
        <v>84</v>
      </c>
      <c r="C23" s="7" t="s">
        <v>85</v>
      </c>
      <c r="D23" s="7" t="s">
        <v>86</v>
      </c>
      <c r="E23" s="4" t="s">
        <v>13</v>
      </c>
      <c r="F23" s="8" t="s">
        <v>87</v>
      </c>
    </row>
    <row r="24" spans="1:6" ht="36" customHeight="1" x14ac:dyDescent="0.35">
      <c r="A24" s="2" t="s">
        <v>88</v>
      </c>
      <c r="B24" s="3" t="s">
        <v>89</v>
      </c>
      <c r="C24" s="3" t="s">
        <v>90</v>
      </c>
      <c r="D24" s="3" t="s">
        <v>91</v>
      </c>
      <c r="E24" s="9" t="s">
        <v>23</v>
      </c>
      <c r="F24" s="5" t="s">
        <v>92</v>
      </c>
    </row>
    <row r="25" spans="1:6" ht="36" customHeight="1" x14ac:dyDescent="0.35">
      <c r="A25" s="6" t="s">
        <v>93</v>
      </c>
      <c r="B25" s="7" t="s">
        <v>94</v>
      </c>
      <c r="C25" s="7" t="s">
        <v>95</v>
      </c>
      <c r="D25" s="7" t="s">
        <v>95</v>
      </c>
      <c r="E25" s="4" t="s">
        <v>13</v>
      </c>
      <c r="F25" s="8" t="s">
        <v>96</v>
      </c>
    </row>
    <row r="26" spans="1:6" ht="36" customHeight="1" x14ac:dyDescent="0.35">
      <c r="A26" s="2" t="s">
        <v>97</v>
      </c>
      <c r="B26" s="3" t="s">
        <v>98</v>
      </c>
      <c r="C26" s="3" t="s">
        <v>99</v>
      </c>
      <c r="D26" s="3" t="s">
        <v>100</v>
      </c>
      <c r="E26" s="10" t="s">
        <v>28</v>
      </c>
      <c r="F26" s="5" t="s">
        <v>101</v>
      </c>
    </row>
    <row r="27" spans="1:6" ht="36" customHeight="1" x14ac:dyDescent="0.35">
      <c r="A27" s="6" t="s">
        <v>102</v>
      </c>
      <c r="B27" s="7" t="s">
        <v>103</v>
      </c>
      <c r="C27" s="7" t="s">
        <v>104</v>
      </c>
      <c r="D27" s="7" t="s">
        <v>105</v>
      </c>
      <c r="E27" s="4" t="s">
        <v>13</v>
      </c>
      <c r="F27" s="8" t="s">
        <v>106</v>
      </c>
    </row>
    <row r="28" spans="1:6" ht="36" customHeight="1" x14ac:dyDescent="0.35">
      <c r="A28" s="2" t="s">
        <v>107</v>
      </c>
      <c r="B28" s="3" t="s">
        <v>108</v>
      </c>
      <c r="C28" s="3" t="s">
        <v>109</v>
      </c>
      <c r="D28" s="3" t="s">
        <v>110</v>
      </c>
      <c r="E28" s="4" t="s">
        <v>13</v>
      </c>
      <c r="F28" s="5" t="s">
        <v>111</v>
      </c>
    </row>
    <row r="29" spans="1:6" ht="36" customHeight="1" x14ac:dyDescent="0.35">
      <c r="A29" s="6" t="s">
        <v>112</v>
      </c>
      <c r="B29" s="7" t="s">
        <v>113</v>
      </c>
      <c r="C29" s="7" t="s">
        <v>114</v>
      </c>
      <c r="D29" s="7" t="s">
        <v>115</v>
      </c>
      <c r="E29" s="4" t="s">
        <v>13</v>
      </c>
      <c r="F29" s="8" t="s">
        <v>116</v>
      </c>
    </row>
    <row r="30" spans="1:6" ht="36" customHeight="1" x14ac:dyDescent="0.35">
      <c r="A30" s="2" t="s">
        <v>117</v>
      </c>
      <c r="B30" s="3" t="s">
        <v>118</v>
      </c>
      <c r="C30" s="3" t="s">
        <v>119</v>
      </c>
      <c r="D30" s="3" t="s">
        <v>120</v>
      </c>
      <c r="E30" s="4" t="s">
        <v>13</v>
      </c>
      <c r="F30" s="5" t="s">
        <v>121</v>
      </c>
    </row>
    <row r="31" spans="1:6" ht="36" customHeight="1" x14ac:dyDescent="0.35">
      <c r="A31" s="6" t="s">
        <v>122</v>
      </c>
      <c r="B31" s="7" t="s">
        <v>123</v>
      </c>
      <c r="C31" s="7" t="s">
        <v>124</v>
      </c>
      <c r="D31" s="7" t="s">
        <v>66</v>
      </c>
      <c r="E31" s="10" t="s">
        <v>28</v>
      </c>
      <c r="F31" s="8" t="s">
        <v>125</v>
      </c>
    </row>
    <row r="33" spans="1:6" ht="28" customHeight="1" x14ac:dyDescent="0.35">
      <c r="A33" s="25" t="s">
        <v>126</v>
      </c>
      <c r="B33" s="24"/>
      <c r="C33" s="24"/>
      <c r="D33" s="24"/>
      <c r="E33" s="24"/>
      <c r="F33" s="24"/>
    </row>
    <row r="34" spans="1:6" ht="24" customHeight="1" x14ac:dyDescent="0.35">
      <c r="A34" s="1" t="s">
        <v>3</v>
      </c>
      <c r="B34" s="1" t="s">
        <v>4</v>
      </c>
      <c r="C34" s="1" t="s">
        <v>5</v>
      </c>
      <c r="D34" s="1" t="s">
        <v>6</v>
      </c>
      <c r="E34" s="1" t="s">
        <v>7</v>
      </c>
      <c r="F34" s="1" t="s">
        <v>8</v>
      </c>
    </row>
    <row r="35" spans="1:6" ht="36" customHeight="1" x14ac:dyDescent="0.35">
      <c r="A35" s="2" t="s">
        <v>127</v>
      </c>
      <c r="B35" s="3" t="s">
        <v>128</v>
      </c>
      <c r="C35" s="3" t="s">
        <v>129</v>
      </c>
      <c r="D35" s="3" t="s">
        <v>130</v>
      </c>
      <c r="E35" s="4" t="s">
        <v>13</v>
      </c>
      <c r="F35" s="5" t="s">
        <v>131</v>
      </c>
    </row>
    <row r="36" spans="1:6" ht="36" customHeight="1" x14ac:dyDescent="0.35">
      <c r="A36" s="6" t="s">
        <v>132</v>
      </c>
      <c r="B36" s="7" t="s">
        <v>133</v>
      </c>
      <c r="C36" s="7" t="s">
        <v>134</v>
      </c>
      <c r="D36" s="7" t="s">
        <v>135</v>
      </c>
      <c r="E36" s="4" t="s">
        <v>13</v>
      </c>
      <c r="F36" s="8" t="s">
        <v>136</v>
      </c>
    </row>
    <row r="37" spans="1:6" ht="36" customHeight="1" x14ac:dyDescent="0.35">
      <c r="A37" s="2" t="s">
        <v>137</v>
      </c>
      <c r="B37" s="3" t="s">
        <v>138</v>
      </c>
      <c r="C37" s="3" t="s">
        <v>139</v>
      </c>
      <c r="D37" s="3" t="s">
        <v>140</v>
      </c>
      <c r="E37" s="4" t="s">
        <v>13</v>
      </c>
      <c r="F37" s="5" t="s">
        <v>141</v>
      </c>
    </row>
    <row r="38" spans="1:6" ht="36" customHeight="1" x14ac:dyDescent="0.35">
      <c r="A38" s="6" t="s">
        <v>142</v>
      </c>
      <c r="B38" s="7" t="s">
        <v>143</v>
      </c>
      <c r="C38" s="7" t="s">
        <v>144</v>
      </c>
      <c r="D38" s="7" t="s">
        <v>145</v>
      </c>
      <c r="E38" s="4" t="s">
        <v>13</v>
      </c>
      <c r="F38" s="8" t="s">
        <v>146</v>
      </c>
    </row>
    <row r="39" spans="1:6" ht="36" customHeight="1" x14ac:dyDescent="0.35">
      <c r="A39" s="2" t="s">
        <v>147</v>
      </c>
      <c r="B39" s="3" t="s">
        <v>55</v>
      </c>
      <c r="C39" s="3" t="s">
        <v>148</v>
      </c>
      <c r="D39" s="3" t="s">
        <v>149</v>
      </c>
      <c r="E39" s="4" t="s">
        <v>13</v>
      </c>
      <c r="F39" s="5" t="s">
        <v>150</v>
      </c>
    </row>
    <row r="40" spans="1:6" ht="36" customHeight="1" x14ac:dyDescent="0.35">
      <c r="A40" s="6" t="s">
        <v>151</v>
      </c>
      <c r="B40" s="7" t="s">
        <v>152</v>
      </c>
      <c r="C40" s="7" t="s">
        <v>153</v>
      </c>
      <c r="D40" s="7" t="s">
        <v>66</v>
      </c>
      <c r="E40" s="10" t="s">
        <v>28</v>
      </c>
      <c r="F40" s="8" t="s">
        <v>154</v>
      </c>
    </row>
    <row r="41" spans="1:6" ht="36" customHeight="1" x14ac:dyDescent="0.35">
      <c r="A41" s="2" t="s">
        <v>155</v>
      </c>
      <c r="B41" s="3" t="s">
        <v>156</v>
      </c>
      <c r="C41" s="3" t="s">
        <v>157</v>
      </c>
      <c r="D41" s="3" t="s">
        <v>66</v>
      </c>
      <c r="E41" s="10" t="s">
        <v>28</v>
      </c>
      <c r="F41" s="5" t="s">
        <v>158</v>
      </c>
    </row>
    <row r="42" spans="1:6" ht="36" customHeight="1" x14ac:dyDescent="0.35">
      <c r="A42" s="6" t="s">
        <v>159</v>
      </c>
      <c r="B42" s="7" t="s">
        <v>160</v>
      </c>
      <c r="C42" s="7" t="s">
        <v>161</v>
      </c>
      <c r="D42" s="7" t="s">
        <v>162</v>
      </c>
      <c r="E42" s="4" t="s">
        <v>13</v>
      </c>
      <c r="F42" s="8" t="s">
        <v>163</v>
      </c>
    </row>
    <row r="44" spans="1:6" ht="28" customHeight="1" x14ac:dyDescent="0.35">
      <c r="A44" s="25" t="s">
        <v>164</v>
      </c>
      <c r="B44" s="24"/>
      <c r="C44" s="24"/>
      <c r="D44" s="24"/>
      <c r="E44" s="24"/>
      <c r="F44" s="24"/>
    </row>
    <row r="45" spans="1:6" ht="24" customHeight="1" x14ac:dyDescent="0.35">
      <c r="A45" s="1" t="s">
        <v>3</v>
      </c>
      <c r="B45" s="1" t="s">
        <v>4</v>
      </c>
      <c r="C45" s="1" t="s">
        <v>5</v>
      </c>
      <c r="D45" s="1" t="s">
        <v>6</v>
      </c>
      <c r="E45" s="1" t="s">
        <v>7</v>
      </c>
      <c r="F45" s="1" t="s">
        <v>8</v>
      </c>
    </row>
    <row r="46" spans="1:6" ht="36" customHeight="1" x14ac:dyDescent="0.35">
      <c r="A46" s="2" t="s">
        <v>165</v>
      </c>
      <c r="B46" s="3" t="s">
        <v>166</v>
      </c>
      <c r="C46" s="3" t="s">
        <v>167</v>
      </c>
      <c r="D46" s="3" t="s">
        <v>168</v>
      </c>
      <c r="E46" s="4" t="s">
        <v>13</v>
      </c>
      <c r="F46" s="5" t="s">
        <v>169</v>
      </c>
    </row>
    <row r="47" spans="1:6" ht="36" customHeight="1" x14ac:dyDescent="0.35">
      <c r="A47" s="6" t="s">
        <v>170</v>
      </c>
      <c r="B47" s="7" t="s">
        <v>166</v>
      </c>
      <c r="C47" s="7" t="s">
        <v>171</v>
      </c>
      <c r="D47" s="7" t="s">
        <v>172</v>
      </c>
      <c r="E47" s="4" t="s">
        <v>13</v>
      </c>
      <c r="F47" s="8" t="s">
        <v>173</v>
      </c>
    </row>
    <row r="48" spans="1:6" ht="36" customHeight="1" x14ac:dyDescent="0.35">
      <c r="A48" s="2" t="s">
        <v>174</v>
      </c>
      <c r="B48" s="3" t="s">
        <v>175</v>
      </c>
      <c r="C48" s="3" t="s">
        <v>176</v>
      </c>
      <c r="D48" s="3" t="s">
        <v>177</v>
      </c>
      <c r="E48" s="4" t="s">
        <v>13</v>
      </c>
      <c r="F48" s="5" t="s">
        <v>178</v>
      </c>
    </row>
    <row r="49" spans="1:6" ht="36" customHeight="1" x14ac:dyDescent="0.35">
      <c r="A49" s="6" t="s">
        <v>179</v>
      </c>
      <c r="B49" s="7" t="s">
        <v>180</v>
      </c>
      <c r="C49" s="7" t="s">
        <v>181</v>
      </c>
      <c r="D49" s="7" t="s">
        <v>182</v>
      </c>
      <c r="E49" s="4" t="s">
        <v>13</v>
      </c>
      <c r="F49" s="8" t="s">
        <v>183</v>
      </c>
    </row>
    <row r="50" spans="1:6" ht="36" customHeight="1" x14ac:dyDescent="0.35">
      <c r="A50" s="2" t="s">
        <v>184</v>
      </c>
      <c r="B50" s="3" t="s">
        <v>36</v>
      </c>
      <c r="C50" s="3" t="s">
        <v>37</v>
      </c>
      <c r="D50" s="3" t="s">
        <v>66</v>
      </c>
      <c r="E50" s="11" t="s">
        <v>185</v>
      </c>
      <c r="F50" s="5" t="s">
        <v>186</v>
      </c>
    </row>
    <row r="51" spans="1:6" ht="36" customHeight="1" x14ac:dyDescent="0.35">
      <c r="A51" s="6" t="s">
        <v>187</v>
      </c>
      <c r="B51" s="7" t="s">
        <v>36</v>
      </c>
      <c r="C51" s="7" t="s">
        <v>37</v>
      </c>
      <c r="D51" s="7" t="s">
        <v>66</v>
      </c>
      <c r="E51" s="10" t="s">
        <v>28</v>
      </c>
      <c r="F51" s="8" t="s">
        <v>188</v>
      </c>
    </row>
    <row r="52" spans="1:6" ht="36" customHeight="1" x14ac:dyDescent="0.35">
      <c r="A52" s="2" t="s">
        <v>189</v>
      </c>
      <c r="B52" s="3" t="s">
        <v>190</v>
      </c>
      <c r="C52" s="3" t="s">
        <v>191</v>
      </c>
      <c r="D52" s="3" t="s">
        <v>192</v>
      </c>
      <c r="E52" s="4" t="s">
        <v>13</v>
      </c>
      <c r="F52" s="5" t="s">
        <v>193</v>
      </c>
    </row>
    <row r="54" spans="1:6" ht="28" customHeight="1" x14ac:dyDescent="0.35">
      <c r="A54" s="25" t="s">
        <v>194</v>
      </c>
      <c r="B54" s="24"/>
      <c r="C54" s="24"/>
      <c r="D54" s="24"/>
      <c r="E54" s="24"/>
      <c r="F54" s="24"/>
    </row>
    <row r="55" spans="1:6" ht="24" customHeight="1" x14ac:dyDescent="0.35">
      <c r="A55" s="1" t="s">
        <v>3</v>
      </c>
      <c r="B55" s="1" t="s">
        <v>4</v>
      </c>
      <c r="C55" s="1" t="s">
        <v>5</v>
      </c>
      <c r="D55" s="1" t="s">
        <v>6</v>
      </c>
      <c r="E55" s="1" t="s">
        <v>7</v>
      </c>
      <c r="F55" s="1" t="s">
        <v>8</v>
      </c>
    </row>
    <row r="56" spans="1:6" ht="36" customHeight="1" x14ac:dyDescent="0.35">
      <c r="A56" s="2" t="s">
        <v>195</v>
      </c>
      <c r="B56" s="3" t="s">
        <v>196</v>
      </c>
      <c r="C56" s="3" t="s">
        <v>197</v>
      </c>
      <c r="D56" s="3" t="s">
        <v>198</v>
      </c>
      <c r="E56" s="4" t="s">
        <v>13</v>
      </c>
      <c r="F56" s="5" t="s">
        <v>199</v>
      </c>
    </row>
    <row r="57" spans="1:6" ht="36" customHeight="1" x14ac:dyDescent="0.35">
      <c r="A57" s="6" t="s">
        <v>200</v>
      </c>
      <c r="B57" s="7" t="s">
        <v>201</v>
      </c>
      <c r="C57" s="7" t="s">
        <v>104</v>
      </c>
      <c r="D57" s="7" t="s">
        <v>202</v>
      </c>
      <c r="E57" s="4" t="s">
        <v>13</v>
      </c>
      <c r="F57" s="8" t="s">
        <v>203</v>
      </c>
    </row>
    <row r="58" spans="1:6" ht="36" customHeight="1" x14ac:dyDescent="0.35">
      <c r="A58" s="2" t="s">
        <v>204</v>
      </c>
      <c r="B58" s="3" t="s">
        <v>55</v>
      </c>
      <c r="C58" s="3" t="s">
        <v>205</v>
      </c>
      <c r="D58" s="3" t="s">
        <v>206</v>
      </c>
      <c r="E58" s="4" t="s">
        <v>13</v>
      </c>
      <c r="F58" s="5" t="s">
        <v>207</v>
      </c>
    </row>
    <row r="59" spans="1:6" ht="36" customHeight="1" x14ac:dyDescent="0.35">
      <c r="A59" s="6" t="s">
        <v>208</v>
      </c>
      <c r="B59" s="7" t="s">
        <v>209</v>
      </c>
      <c r="C59" s="7" t="s">
        <v>210</v>
      </c>
      <c r="D59" s="7" t="s">
        <v>66</v>
      </c>
      <c r="E59" s="10" t="s">
        <v>28</v>
      </c>
      <c r="F59" s="8" t="s">
        <v>211</v>
      </c>
    </row>
    <row r="60" spans="1:6" ht="36" customHeight="1" x14ac:dyDescent="0.35">
      <c r="A60" s="2" t="s">
        <v>212</v>
      </c>
      <c r="B60" s="3" t="s">
        <v>196</v>
      </c>
      <c r="C60" s="3" t="s">
        <v>213</v>
      </c>
      <c r="D60" s="3" t="s">
        <v>214</v>
      </c>
      <c r="E60" s="4" t="s">
        <v>13</v>
      </c>
      <c r="F60" s="5" t="s">
        <v>215</v>
      </c>
    </row>
    <row r="61" spans="1:6" ht="36" customHeight="1" x14ac:dyDescent="0.35">
      <c r="A61" s="6" t="s">
        <v>216</v>
      </c>
      <c r="B61" s="7" t="s">
        <v>217</v>
      </c>
      <c r="C61" s="7" t="s">
        <v>218</v>
      </c>
      <c r="D61" s="7" t="s">
        <v>219</v>
      </c>
      <c r="E61" s="4" t="s">
        <v>13</v>
      </c>
      <c r="F61" s="8" t="s">
        <v>220</v>
      </c>
    </row>
    <row r="63" spans="1:6" ht="28" customHeight="1" x14ac:dyDescent="0.35">
      <c r="A63" s="25" t="s">
        <v>221</v>
      </c>
      <c r="B63" s="24"/>
      <c r="C63" s="24"/>
      <c r="D63" s="24"/>
      <c r="E63" s="24"/>
      <c r="F63" s="24"/>
    </row>
    <row r="64" spans="1:6" ht="24" customHeight="1" x14ac:dyDescent="0.35">
      <c r="A64" s="1" t="s">
        <v>3</v>
      </c>
      <c r="B64" s="1" t="s">
        <v>4</v>
      </c>
      <c r="C64" s="1" t="s">
        <v>5</v>
      </c>
      <c r="D64" s="1" t="s">
        <v>6</v>
      </c>
      <c r="E64" s="1" t="s">
        <v>7</v>
      </c>
      <c r="F64" s="1" t="s">
        <v>8</v>
      </c>
    </row>
    <row r="65" spans="1:6" ht="36" customHeight="1" x14ac:dyDescent="0.35">
      <c r="A65" s="2" t="s">
        <v>222</v>
      </c>
      <c r="B65" s="3" t="s">
        <v>223</v>
      </c>
      <c r="C65" s="3" t="s">
        <v>224</v>
      </c>
      <c r="D65" s="3" t="s">
        <v>225</v>
      </c>
      <c r="E65" s="4" t="s">
        <v>13</v>
      </c>
      <c r="F65" s="5" t="s">
        <v>226</v>
      </c>
    </row>
    <row r="66" spans="1:6" ht="36" customHeight="1" x14ac:dyDescent="0.35">
      <c r="A66" s="6" t="s">
        <v>227</v>
      </c>
      <c r="B66" s="7" t="s">
        <v>143</v>
      </c>
      <c r="C66" s="7" t="s">
        <v>228</v>
      </c>
      <c r="D66" s="7" t="s">
        <v>229</v>
      </c>
      <c r="E66" s="4" t="s">
        <v>13</v>
      </c>
      <c r="F66" s="8" t="s">
        <v>230</v>
      </c>
    </row>
    <row r="67" spans="1:6" ht="36" customHeight="1" x14ac:dyDescent="0.35">
      <c r="A67" s="2" t="s">
        <v>231</v>
      </c>
      <c r="B67" s="3" t="s">
        <v>232</v>
      </c>
      <c r="C67" s="3" t="s">
        <v>233</v>
      </c>
      <c r="D67" s="3" t="s">
        <v>234</v>
      </c>
      <c r="E67" s="4" t="s">
        <v>13</v>
      </c>
      <c r="F67" s="5" t="s">
        <v>235</v>
      </c>
    </row>
    <row r="68" spans="1:6" ht="36" customHeight="1" x14ac:dyDescent="0.35">
      <c r="A68" s="6" t="s">
        <v>236</v>
      </c>
      <c r="B68" s="7" t="s">
        <v>237</v>
      </c>
      <c r="C68" s="7" t="s">
        <v>238</v>
      </c>
      <c r="D68" s="7" t="s">
        <v>66</v>
      </c>
      <c r="E68" s="10" t="s">
        <v>28</v>
      </c>
      <c r="F68" s="8" t="s">
        <v>239</v>
      </c>
    </row>
    <row r="69" spans="1:6" ht="36" customHeight="1" x14ac:dyDescent="0.35">
      <c r="A69" s="2" t="s">
        <v>240</v>
      </c>
      <c r="B69" s="3" t="s">
        <v>241</v>
      </c>
      <c r="C69" s="3" t="s">
        <v>242</v>
      </c>
      <c r="D69" s="3" t="s">
        <v>66</v>
      </c>
      <c r="E69" s="10" t="s">
        <v>28</v>
      </c>
      <c r="F69" s="5" t="s">
        <v>243</v>
      </c>
    </row>
    <row r="70" spans="1:6" ht="36" customHeight="1" x14ac:dyDescent="0.35">
      <c r="A70" s="6" t="s">
        <v>244</v>
      </c>
      <c r="B70" s="7" t="s">
        <v>223</v>
      </c>
      <c r="C70" s="7" t="s">
        <v>245</v>
      </c>
      <c r="D70" s="7" t="s">
        <v>246</v>
      </c>
      <c r="E70" s="4" t="s">
        <v>13</v>
      </c>
      <c r="F70" s="8" t="s">
        <v>247</v>
      </c>
    </row>
    <row r="71" spans="1:6" ht="36" customHeight="1" x14ac:dyDescent="0.35">
      <c r="A71" s="2" t="s">
        <v>248</v>
      </c>
      <c r="B71" s="3" t="s">
        <v>180</v>
      </c>
      <c r="C71" s="3" t="s">
        <v>249</v>
      </c>
      <c r="D71" s="3" t="s">
        <v>214</v>
      </c>
      <c r="E71" s="4" t="s">
        <v>13</v>
      </c>
      <c r="F71" s="5" t="s">
        <v>250</v>
      </c>
    </row>
    <row r="72" spans="1:6" ht="36" customHeight="1" x14ac:dyDescent="0.35">
      <c r="A72" s="6" t="s">
        <v>251</v>
      </c>
      <c r="B72" s="7" t="s">
        <v>252</v>
      </c>
      <c r="C72" s="7" t="s">
        <v>253</v>
      </c>
      <c r="D72" s="7" t="s">
        <v>254</v>
      </c>
      <c r="E72" s="4" t="s">
        <v>13</v>
      </c>
      <c r="F72" s="8" t="s">
        <v>255</v>
      </c>
    </row>
    <row r="73" spans="1:6" ht="36" customHeight="1" x14ac:dyDescent="0.35">
      <c r="A73" s="2" t="s">
        <v>256</v>
      </c>
      <c r="B73" s="3" t="s">
        <v>257</v>
      </c>
      <c r="C73" s="3" t="s">
        <v>258</v>
      </c>
      <c r="D73" s="3" t="s">
        <v>66</v>
      </c>
      <c r="E73" s="10" t="s">
        <v>28</v>
      </c>
      <c r="F73" s="5" t="s">
        <v>259</v>
      </c>
    </row>
    <row r="75" spans="1:6" ht="28" customHeight="1" x14ac:dyDescent="0.35">
      <c r="A75" s="25" t="s">
        <v>260</v>
      </c>
      <c r="B75" s="24"/>
      <c r="C75" s="24"/>
      <c r="D75" s="24"/>
      <c r="E75" s="24"/>
      <c r="F75" s="24"/>
    </row>
    <row r="76" spans="1:6" ht="24" customHeight="1" x14ac:dyDescent="0.35">
      <c r="A76" s="1" t="s">
        <v>3</v>
      </c>
      <c r="B76" s="1" t="s">
        <v>4</v>
      </c>
      <c r="C76" s="1" t="s">
        <v>5</v>
      </c>
      <c r="D76" s="1" t="s">
        <v>6</v>
      </c>
      <c r="E76" s="1" t="s">
        <v>7</v>
      </c>
      <c r="F76" s="1" t="s">
        <v>8</v>
      </c>
    </row>
    <row r="77" spans="1:6" ht="36" customHeight="1" x14ac:dyDescent="0.35">
      <c r="A77" s="2" t="s">
        <v>261</v>
      </c>
      <c r="B77" s="3" t="s">
        <v>262</v>
      </c>
      <c r="C77" s="3" t="s">
        <v>263</v>
      </c>
      <c r="D77" s="3" t="s">
        <v>264</v>
      </c>
      <c r="E77" s="4" t="s">
        <v>13</v>
      </c>
      <c r="F77" s="5" t="s">
        <v>265</v>
      </c>
    </row>
    <row r="78" spans="1:6" ht="36" customHeight="1" x14ac:dyDescent="0.35">
      <c r="A78" s="6" t="s">
        <v>266</v>
      </c>
      <c r="B78" s="7" t="s">
        <v>55</v>
      </c>
      <c r="C78" s="7" t="s">
        <v>267</v>
      </c>
      <c r="D78" s="7" t="s">
        <v>268</v>
      </c>
      <c r="E78" s="4" t="s">
        <v>13</v>
      </c>
      <c r="F78" s="8" t="s">
        <v>269</v>
      </c>
    </row>
    <row r="79" spans="1:6" ht="36" customHeight="1" x14ac:dyDescent="0.35">
      <c r="A79" s="2" t="s">
        <v>270</v>
      </c>
      <c r="B79" s="3" t="s">
        <v>252</v>
      </c>
      <c r="C79" s="3" t="s">
        <v>271</v>
      </c>
      <c r="D79" s="3" t="s">
        <v>272</v>
      </c>
      <c r="E79" s="4" t="s">
        <v>13</v>
      </c>
      <c r="F79" s="5" t="s">
        <v>273</v>
      </c>
    </row>
    <row r="80" spans="1:6" ht="36" customHeight="1" x14ac:dyDescent="0.35">
      <c r="A80" s="6" t="s">
        <v>274</v>
      </c>
      <c r="B80" s="7" t="s">
        <v>252</v>
      </c>
      <c r="C80" s="7" t="s">
        <v>275</v>
      </c>
      <c r="D80" s="7" t="s">
        <v>276</v>
      </c>
      <c r="E80" s="4" t="s">
        <v>13</v>
      </c>
      <c r="F80" s="8" t="s">
        <v>277</v>
      </c>
    </row>
    <row r="81" spans="1:6" ht="36" customHeight="1" x14ac:dyDescent="0.35">
      <c r="A81" s="2" t="s">
        <v>278</v>
      </c>
      <c r="B81" s="3" t="s">
        <v>36</v>
      </c>
      <c r="C81" s="3" t="s">
        <v>37</v>
      </c>
      <c r="D81" s="3" t="s">
        <v>66</v>
      </c>
      <c r="E81" s="10" t="s">
        <v>28</v>
      </c>
      <c r="F81" s="5" t="s">
        <v>279</v>
      </c>
    </row>
    <row r="82" spans="1:6" ht="36" customHeight="1" x14ac:dyDescent="0.35">
      <c r="A82" s="6" t="s">
        <v>280</v>
      </c>
      <c r="B82" s="7" t="s">
        <v>281</v>
      </c>
      <c r="C82" s="7" t="s">
        <v>282</v>
      </c>
      <c r="D82" s="7" t="s">
        <v>66</v>
      </c>
      <c r="E82" s="10" t="s">
        <v>28</v>
      </c>
      <c r="F82" s="8" t="s">
        <v>283</v>
      </c>
    </row>
    <row r="84" spans="1:6" ht="28" customHeight="1" x14ac:dyDescent="0.35">
      <c r="A84" s="25" t="s">
        <v>284</v>
      </c>
      <c r="B84" s="24"/>
      <c r="C84" s="24"/>
      <c r="D84" s="24"/>
      <c r="E84" s="24"/>
      <c r="F84" s="24"/>
    </row>
    <row r="85" spans="1:6" ht="24" customHeight="1" x14ac:dyDescent="0.35">
      <c r="A85" s="1" t="s">
        <v>3</v>
      </c>
      <c r="B85" s="1" t="s">
        <v>4</v>
      </c>
      <c r="C85" s="1" t="s">
        <v>5</v>
      </c>
      <c r="D85" s="1" t="s">
        <v>6</v>
      </c>
      <c r="E85" s="1" t="s">
        <v>7</v>
      </c>
      <c r="F85" s="1" t="s">
        <v>8</v>
      </c>
    </row>
    <row r="86" spans="1:6" ht="36" customHeight="1" x14ac:dyDescent="0.35">
      <c r="A86" s="2" t="s">
        <v>285</v>
      </c>
      <c r="B86" s="3" t="s">
        <v>286</v>
      </c>
      <c r="C86" s="3" t="s">
        <v>85</v>
      </c>
      <c r="D86" s="3" t="s">
        <v>287</v>
      </c>
      <c r="E86" s="4" t="s">
        <v>13</v>
      </c>
      <c r="F86" s="5" t="s">
        <v>288</v>
      </c>
    </row>
    <row r="87" spans="1:6" ht="36" customHeight="1" x14ac:dyDescent="0.35">
      <c r="A87" s="6" t="s">
        <v>289</v>
      </c>
      <c r="B87" s="7" t="s">
        <v>55</v>
      </c>
      <c r="C87" s="7" t="s">
        <v>290</v>
      </c>
      <c r="D87" s="7" t="s">
        <v>291</v>
      </c>
      <c r="E87" s="4" t="s">
        <v>13</v>
      </c>
      <c r="F87" s="8" t="s">
        <v>292</v>
      </c>
    </row>
    <row r="88" spans="1:6" ht="36" customHeight="1" x14ac:dyDescent="0.35">
      <c r="A88" s="2" t="s">
        <v>293</v>
      </c>
      <c r="B88" s="3" t="s">
        <v>36</v>
      </c>
      <c r="C88" s="3" t="s">
        <v>294</v>
      </c>
      <c r="D88" s="3" t="s">
        <v>295</v>
      </c>
      <c r="E88" s="4" t="s">
        <v>13</v>
      </c>
      <c r="F88" s="5" t="s">
        <v>296</v>
      </c>
    </row>
    <row r="89" spans="1:6" ht="36" customHeight="1" x14ac:dyDescent="0.35">
      <c r="A89" s="6" t="s">
        <v>297</v>
      </c>
      <c r="B89" s="7" t="s">
        <v>123</v>
      </c>
      <c r="C89" s="7" t="s">
        <v>298</v>
      </c>
      <c r="D89" s="7" t="s">
        <v>66</v>
      </c>
      <c r="E89" s="10" t="s">
        <v>28</v>
      </c>
      <c r="F89" s="8" t="s">
        <v>299</v>
      </c>
    </row>
    <row r="90" spans="1:6" ht="36" customHeight="1" x14ac:dyDescent="0.35">
      <c r="A90" s="2" t="s">
        <v>300</v>
      </c>
      <c r="B90" s="3" t="s">
        <v>301</v>
      </c>
      <c r="C90" s="3" t="s">
        <v>302</v>
      </c>
      <c r="D90" s="3" t="s">
        <v>66</v>
      </c>
      <c r="E90" s="10" t="s">
        <v>28</v>
      </c>
      <c r="F90" s="5" t="s">
        <v>303</v>
      </c>
    </row>
    <row r="91" spans="1:6" ht="36" customHeight="1" x14ac:dyDescent="0.35">
      <c r="A91" s="6" t="s">
        <v>304</v>
      </c>
      <c r="B91" s="7" t="s">
        <v>305</v>
      </c>
      <c r="C91" s="7" t="s">
        <v>306</v>
      </c>
      <c r="D91" s="7" t="s">
        <v>307</v>
      </c>
      <c r="E91" s="4" t="s">
        <v>13</v>
      </c>
      <c r="F91" s="8" t="s">
        <v>308</v>
      </c>
    </row>
    <row r="93" spans="1:6" ht="28" customHeight="1" x14ac:dyDescent="0.35">
      <c r="A93" s="25" t="s">
        <v>309</v>
      </c>
      <c r="B93" s="24"/>
      <c r="C93" s="24"/>
      <c r="D93" s="24"/>
      <c r="E93" s="24"/>
      <c r="F93" s="24"/>
    </row>
    <row r="94" spans="1:6" ht="24" customHeight="1" x14ac:dyDescent="0.35">
      <c r="A94" s="1" t="s">
        <v>3</v>
      </c>
      <c r="B94" s="1" t="s">
        <v>4</v>
      </c>
      <c r="C94" s="1" t="s">
        <v>5</v>
      </c>
      <c r="D94" s="1" t="s">
        <v>6</v>
      </c>
      <c r="E94" s="1" t="s">
        <v>7</v>
      </c>
      <c r="F94" s="1" t="s">
        <v>8</v>
      </c>
    </row>
    <row r="95" spans="1:6" ht="36" customHeight="1" x14ac:dyDescent="0.35">
      <c r="A95" s="2" t="s">
        <v>310</v>
      </c>
      <c r="B95" s="3" t="s">
        <v>311</v>
      </c>
      <c r="C95" s="3" t="s">
        <v>312</v>
      </c>
      <c r="D95" s="3" t="s">
        <v>313</v>
      </c>
      <c r="E95" s="9" t="s">
        <v>23</v>
      </c>
      <c r="F95" s="5" t="s">
        <v>314</v>
      </c>
    </row>
    <row r="96" spans="1:6" ht="36" customHeight="1" x14ac:dyDescent="0.35">
      <c r="A96" s="6" t="s">
        <v>315</v>
      </c>
      <c r="B96" s="7" t="s">
        <v>311</v>
      </c>
      <c r="C96" s="7" t="s">
        <v>316</v>
      </c>
      <c r="D96" s="7" t="s">
        <v>317</v>
      </c>
      <c r="E96" s="4" t="s">
        <v>13</v>
      </c>
      <c r="F96" s="8" t="s">
        <v>318</v>
      </c>
    </row>
    <row r="97" spans="1:6" ht="36" customHeight="1" x14ac:dyDescent="0.35">
      <c r="A97" s="2" t="s">
        <v>319</v>
      </c>
      <c r="B97" s="3" t="s">
        <v>41</v>
      </c>
      <c r="C97" s="3" t="s">
        <v>320</v>
      </c>
      <c r="D97" s="3" t="s">
        <v>321</v>
      </c>
      <c r="E97" s="10" t="s">
        <v>28</v>
      </c>
      <c r="F97" s="5" t="s">
        <v>322</v>
      </c>
    </row>
    <row r="98" spans="1:6" ht="36" customHeight="1" x14ac:dyDescent="0.35">
      <c r="A98" s="6" t="s">
        <v>323</v>
      </c>
      <c r="B98" s="7" t="s">
        <v>36</v>
      </c>
      <c r="C98" s="7" t="s">
        <v>37</v>
      </c>
      <c r="D98" s="7" t="s">
        <v>324</v>
      </c>
      <c r="E98" s="9" t="s">
        <v>23</v>
      </c>
      <c r="F98" s="8" t="s">
        <v>325</v>
      </c>
    </row>
    <row r="99" spans="1:6" ht="36" customHeight="1" x14ac:dyDescent="0.35">
      <c r="A99" s="2" t="s">
        <v>326</v>
      </c>
      <c r="B99" s="3" t="s">
        <v>55</v>
      </c>
      <c r="C99" s="3" t="s">
        <v>327</v>
      </c>
      <c r="D99" s="3" t="s">
        <v>66</v>
      </c>
      <c r="E99" s="11" t="s">
        <v>185</v>
      </c>
      <c r="F99" s="5" t="s">
        <v>328</v>
      </c>
    </row>
    <row r="100" spans="1:6" ht="36" customHeight="1" x14ac:dyDescent="0.35">
      <c r="A100" s="6" t="s">
        <v>329</v>
      </c>
      <c r="B100" s="7" t="s">
        <v>55</v>
      </c>
      <c r="C100" s="7" t="s">
        <v>330</v>
      </c>
      <c r="D100" s="7" t="s">
        <v>331</v>
      </c>
      <c r="E100" s="4" t="s">
        <v>13</v>
      </c>
      <c r="F100" s="8" t="s">
        <v>332</v>
      </c>
    </row>
    <row r="101" spans="1:6" ht="36" customHeight="1" x14ac:dyDescent="0.35">
      <c r="A101" s="2" t="s">
        <v>333</v>
      </c>
      <c r="B101" s="3" t="s">
        <v>55</v>
      </c>
      <c r="C101" s="3" t="s">
        <v>334</v>
      </c>
      <c r="D101" s="3" t="s">
        <v>66</v>
      </c>
      <c r="E101" s="11" t="s">
        <v>185</v>
      </c>
      <c r="F101" s="5" t="s">
        <v>335</v>
      </c>
    </row>
    <row r="103" spans="1:6" ht="28" customHeight="1" x14ac:dyDescent="0.35">
      <c r="A103" s="25" t="s">
        <v>336</v>
      </c>
      <c r="B103" s="24"/>
      <c r="C103" s="24"/>
      <c r="D103" s="24"/>
      <c r="E103" s="24"/>
      <c r="F103" s="24"/>
    </row>
    <row r="104" spans="1:6" ht="24" customHeight="1" x14ac:dyDescent="0.35">
      <c r="A104" s="1" t="s">
        <v>3</v>
      </c>
      <c r="B104" s="1" t="s">
        <v>4</v>
      </c>
      <c r="C104" s="1" t="s">
        <v>5</v>
      </c>
      <c r="D104" s="1" t="s">
        <v>6</v>
      </c>
      <c r="E104" s="1" t="s">
        <v>7</v>
      </c>
      <c r="F104" s="1" t="s">
        <v>8</v>
      </c>
    </row>
    <row r="105" spans="1:6" ht="36" customHeight="1" x14ac:dyDescent="0.35">
      <c r="A105" s="2" t="s">
        <v>337</v>
      </c>
      <c r="B105" s="3" t="s">
        <v>338</v>
      </c>
      <c r="C105" s="3" t="s">
        <v>339</v>
      </c>
      <c r="D105" s="3" t="s">
        <v>340</v>
      </c>
      <c r="E105" s="10" t="s">
        <v>28</v>
      </c>
      <c r="F105" s="5" t="s">
        <v>341</v>
      </c>
    </row>
    <row r="106" spans="1:6" ht="36" customHeight="1" x14ac:dyDescent="0.35">
      <c r="A106" s="6" t="s">
        <v>342</v>
      </c>
      <c r="B106" s="7" t="s">
        <v>343</v>
      </c>
      <c r="C106" s="7" t="s">
        <v>344</v>
      </c>
      <c r="D106" s="7" t="s">
        <v>66</v>
      </c>
      <c r="E106" s="10" t="s">
        <v>28</v>
      </c>
      <c r="F106" s="8" t="s">
        <v>345</v>
      </c>
    </row>
    <row r="107" spans="1:6" ht="36" customHeight="1" x14ac:dyDescent="0.35">
      <c r="A107" s="2" t="s">
        <v>346</v>
      </c>
      <c r="B107" s="3" t="s">
        <v>343</v>
      </c>
      <c r="C107" s="3" t="s">
        <v>104</v>
      </c>
      <c r="D107" s="3" t="s">
        <v>347</v>
      </c>
      <c r="E107" s="4" t="s">
        <v>13</v>
      </c>
      <c r="F107" s="5" t="s">
        <v>348</v>
      </c>
    </row>
    <row r="108" spans="1:6" ht="36" customHeight="1" x14ac:dyDescent="0.35">
      <c r="A108" s="6" t="s">
        <v>349</v>
      </c>
      <c r="B108" s="7" t="s">
        <v>350</v>
      </c>
      <c r="C108" s="7" t="s">
        <v>37</v>
      </c>
      <c r="D108" s="7" t="s">
        <v>351</v>
      </c>
      <c r="E108" s="4" t="s">
        <v>13</v>
      </c>
      <c r="F108" s="8" t="s">
        <v>352</v>
      </c>
    </row>
    <row r="109" spans="1:6" ht="36" customHeight="1" x14ac:dyDescent="0.35">
      <c r="A109" s="2" t="s">
        <v>353</v>
      </c>
      <c r="B109" s="3" t="s">
        <v>354</v>
      </c>
      <c r="C109" s="3" t="s">
        <v>355</v>
      </c>
      <c r="D109" s="3" t="s">
        <v>356</v>
      </c>
      <c r="E109" s="4" t="s">
        <v>13</v>
      </c>
      <c r="F109" s="5" t="s">
        <v>357</v>
      </c>
    </row>
    <row r="110" spans="1:6" ht="36" customHeight="1" x14ac:dyDescent="0.35">
      <c r="A110" s="6" t="s">
        <v>358</v>
      </c>
      <c r="B110" s="7" t="s">
        <v>350</v>
      </c>
      <c r="C110" s="7" t="s">
        <v>359</v>
      </c>
      <c r="D110" s="7" t="s">
        <v>66</v>
      </c>
      <c r="E110" s="10" t="s">
        <v>28</v>
      </c>
      <c r="F110" s="8" t="s">
        <v>360</v>
      </c>
    </row>
    <row r="111" spans="1:6" ht="36" customHeight="1" x14ac:dyDescent="0.35">
      <c r="A111" s="2" t="s">
        <v>361</v>
      </c>
      <c r="B111" s="3" t="s">
        <v>362</v>
      </c>
      <c r="C111" s="3" t="s">
        <v>363</v>
      </c>
      <c r="D111" s="3" t="s">
        <v>66</v>
      </c>
      <c r="E111" s="10" t="s">
        <v>28</v>
      </c>
      <c r="F111" s="5" t="s">
        <v>364</v>
      </c>
    </row>
  </sheetData>
  <mergeCells count="12">
    <mergeCell ref="A93:F93"/>
    <mergeCell ref="A44:F44"/>
    <mergeCell ref="A1:F1"/>
    <mergeCell ref="A75:F75"/>
    <mergeCell ref="A103:F103"/>
    <mergeCell ref="A3:F3"/>
    <mergeCell ref="A20:F20"/>
    <mergeCell ref="A2:F2"/>
    <mergeCell ref="A33:F33"/>
    <mergeCell ref="A54:F54"/>
    <mergeCell ref="A63:F63"/>
    <mergeCell ref="A84:F84"/>
  </mergeCells>
  <dataValidations count="1">
    <dataValidation type="list" allowBlank="1" promptTitle="Verdict" prompt="Select verdict" sqref="E4:E113" xr:uid="{00000000-0002-0000-0000-000000000000}">
      <formula1>"Pass,Acceptable,Needs Improvement,N/A"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>
      <pane ySplit="2" topLeftCell="A3" activePane="bottomLeft" state="frozen"/>
      <selection pane="bottomLeft" activeCell="G6" sqref="G6"/>
    </sheetView>
  </sheetViews>
  <sheetFormatPr defaultRowHeight="14.5" x14ac:dyDescent="0.35"/>
  <cols>
    <col min="1" max="1" width="45" customWidth="1"/>
    <col min="2" max="6" width="14" customWidth="1"/>
    <col min="7" max="7" width="60" customWidth="1"/>
  </cols>
  <sheetData>
    <row r="1" spans="1:7" ht="36" customHeight="1" x14ac:dyDescent="0.35">
      <c r="A1" s="26" t="s">
        <v>365</v>
      </c>
      <c r="B1" s="24"/>
      <c r="C1" s="24"/>
      <c r="D1" s="24"/>
      <c r="E1" s="24"/>
      <c r="F1" s="24"/>
      <c r="G1" s="24"/>
    </row>
    <row r="2" spans="1:7" ht="26" customHeight="1" x14ac:dyDescent="0.35">
      <c r="A2" s="1" t="s">
        <v>366</v>
      </c>
      <c r="B2" s="1" t="s">
        <v>13</v>
      </c>
      <c r="C2" s="1" t="s">
        <v>23</v>
      </c>
      <c r="D2" s="1" t="s">
        <v>367</v>
      </c>
      <c r="E2" s="1" t="s">
        <v>28</v>
      </c>
      <c r="F2" s="1" t="s">
        <v>368</v>
      </c>
      <c r="G2" s="1" t="s">
        <v>369</v>
      </c>
    </row>
    <row r="3" spans="1:7" ht="32" customHeight="1" x14ac:dyDescent="0.35">
      <c r="A3" s="12" t="s">
        <v>2</v>
      </c>
      <c r="B3" s="13">
        <v>10</v>
      </c>
      <c r="C3" s="14">
        <v>2</v>
      </c>
      <c r="D3" s="15">
        <v>0</v>
      </c>
      <c r="E3" s="16">
        <v>2</v>
      </c>
      <c r="F3" s="15">
        <v>14</v>
      </c>
      <c r="G3" s="17" t="s">
        <v>370</v>
      </c>
    </row>
    <row r="4" spans="1:7" ht="32" customHeight="1" x14ac:dyDescent="0.35">
      <c r="A4" s="18" t="s">
        <v>77</v>
      </c>
      <c r="B4" s="13">
        <v>7</v>
      </c>
      <c r="C4" s="14">
        <v>1</v>
      </c>
      <c r="D4" s="19">
        <v>0</v>
      </c>
      <c r="E4" s="16">
        <v>2</v>
      </c>
      <c r="F4" s="19">
        <v>10</v>
      </c>
      <c r="G4" s="20" t="s">
        <v>371</v>
      </c>
    </row>
    <row r="5" spans="1:7" ht="32" customHeight="1" x14ac:dyDescent="0.35">
      <c r="A5" s="12" t="s">
        <v>126</v>
      </c>
      <c r="B5" s="13">
        <v>6</v>
      </c>
      <c r="C5" s="14">
        <v>0</v>
      </c>
      <c r="D5" s="15">
        <v>0</v>
      </c>
      <c r="E5" s="16">
        <v>2</v>
      </c>
      <c r="F5" s="15">
        <v>8</v>
      </c>
      <c r="G5" s="17" t="s">
        <v>372</v>
      </c>
    </row>
    <row r="6" spans="1:7" ht="32" customHeight="1" x14ac:dyDescent="0.35">
      <c r="A6" s="18" t="s">
        <v>164</v>
      </c>
      <c r="B6" s="13">
        <v>5</v>
      </c>
      <c r="C6" s="14">
        <v>0</v>
      </c>
      <c r="D6" s="21">
        <v>1</v>
      </c>
      <c r="E6" s="16">
        <v>1</v>
      </c>
      <c r="F6" s="19">
        <v>7</v>
      </c>
      <c r="G6" s="20" t="s">
        <v>373</v>
      </c>
    </row>
    <row r="7" spans="1:7" ht="32" customHeight="1" x14ac:dyDescent="0.35">
      <c r="A7" s="12" t="s">
        <v>194</v>
      </c>
      <c r="B7" s="13">
        <v>5</v>
      </c>
      <c r="C7" s="14">
        <v>0</v>
      </c>
      <c r="D7" s="15">
        <v>0</v>
      </c>
      <c r="E7" s="16">
        <v>1</v>
      </c>
      <c r="F7" s="15">
        <v>6</v>
      </c>
      <c r="G7" s="17" t="s">
        <v>374</v>
      </c>
    </row>
    <row r="8" spans="1:7" ht="32" customHeight="1" x14ac:dyDescent="0.35">
      <c r="A8" s="18" t="s">
        <v>221</v>
      </c>
      <c r="B8" s="13">
        <v>6</v>
      </c>
      <c r="C8" s="14">
        <v>0</v>
      </c>
      <c r="D8" s="19">
        <v>0</v>
      </c>
      <c r="E8" s="16">
        <v>3</v>
      </c>
      <c r="F8" s="19">
        <v>9</v>
      </c>
      <c r="G8" s="20" t="s">
        <v>375</v>
      </c>
    </row>
    <row r="9" spans="1:7" ht="32" customHeight="1" x14ac:dyDescent="0.35">
      <c r="A9" s="12" t="s">
        <v>260</v>
      </c>
      <c r="B9" s="13">
        <v>4</v>
      </c>
      <c r="C9" s="14">
        <v>0</v>
      </c>
      <c r="D9" s="15">
        <v>0</v>
      </c>
      <c r="E9" s="16">
        <v>2</v>
      </c>
      <c r="F9" s="15">
        <v>6</v>
      </c>
      <c r="G9" s="17" t="s">
        <v>376</v>
      </c>
    </row>
    <row r="10" spans="1:7" ht="32" customHeight="1" x14ac:dyDescent="0.35">
      <c r="A10" s="18" t="s">
        <v>284</v>
      </c>
      <c r="B10" s="13">
        <v>4</v>
      </c>
      <c r="C10" s="14">
        <v>0</v>
      </c>
      <c r="D10" s="19">
        <v>0</v>
      </c>
      <c r="E10" s="16">
        <v>2</v>
      </c>
      <c r="F10" s="19">
        <v>6</v>
      </c>
      <c r="G10" s="20" t="s">
        <v>377</v>
      </c>
    </row>
    <row r="11" spans="1:7" ht="32" customHeight="1" x14ac:dyDescent="0.35">
      <c r="A11" s="12" t="s">
        <v>309</v>
      </c>
      <c r="B11" s="13">
        <v>2</v>
      </c>
      <c r="C11" s="14">
        <v>2</v>
      </c>
      <c r="D11" s="21">
        <v>2</v>
      </c>
      <c r="E11" s="16">
        <v>1</v>
      </c>
      <c r="F11" s="15">
        <v>7</v>
      </c>
      <c r="G11" s="17" t="s">
        <v>378</v>
      </c>
    </row>
    <row r="12" spans="1:7" ht="32" customHeight="1" x14ac:dyDescent="0.35">
      <c r="A12" s="18" t="s">
        <v>336</v>
      </c>
      <c r="B12" s="13">
        <v>3</v>
      </c>
      <c r="C12" s="14">
        <v>0</v>
      </c>
      <c r="D12" s="19">
        <v>0</v>
      </c>
      <c r="E12" s="16">
        <v>4</v>
      </c>
      <c r="F12" s="19">
        <v>7</v>
      </c>
      <c r="G12" s="20" t="s">
        <v>379</v>
      </c>
    </row>
    <row r="13" spans="1:7" ht="28" customHeight="1" x14ac:dyDescent="0.35">
      <c r="A13" s="22" t="s">
        <v>380</v>
      </c>
      <c r="B13" s="22">
        <v>52</v>
      </c>
      <c r="C13" s="22">
        <v>5</v>
      </c>
      <c r="D13" s="22">
        <v>3</v>
      </c>
      <c r="E13" s="22">
        <v>20</v>
      </c>
      <c r="F13" s="22">
        <v>80</v>
      </c>
      <c r="G13" s="22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Benchmarking Detail</vt:lpstr>
      <vt:lpstr>Summary Scorecard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kartik singh</cp:lastModifiedBy>
  <dcterms:created xsi:type="dcterms:W3CDTF">2026-08-13T12:27:53Z</dcterms:created>
  <dcterms:modified xsi:type="dcterms:W3CDTF">2026-08-13T12:49:57Z</dcterms:modified>
</cp:coreProperties>
</file>